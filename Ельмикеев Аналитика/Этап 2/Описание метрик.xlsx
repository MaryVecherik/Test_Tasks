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Кладовая\Работа\Поиск работы\Тестовые\Ельмикеев Аналитика\Этап 2\"/>
    </mc:Choice>
  </mc:AlternateContent>
  <xr:revisionPtr revIDLastSave="0" documentId="13_ncr:1_{9BA8B03A-EDB1-44B5-8D36-7094F1EDCC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З" sheetId="1" r:id="rId1"/>
  </sheets>
  <calcPr calcId="0"/>
  <extLst>
    <ext uri="GoogleSheetsCustomDataVersion1">
      <go:sheetsCustomData xmlns:go="http://customooxmlschemas.google.com/" r:id="rId5" roundtripDataSignature="AMtx7mhdMbsjRiwTexUeU8/22ncM6xfN9A=="/>
    </ext>
  </extLst>
</workbook>
</file>

<file path=xl/sharedStrings.xml><?xml version="1.0" encoding="utf-8"?>
<sst xmlns="http://schemas.openxmlformats.org/spreadsheetml/2006/main" count="130" uniqueCount="80">
  <si>
    <t>№</t>
  </si>
  <si>
    <t>Метрика / KPI / Статистика</t>
  </si>
  <si>
    <t>Источник данных</t>
  </si>
  <si>
    <t>Источник внутри системы</t>
  </si>
  <si>
    <t>Логическое описание сущности</t>
  </si>
  <si>
    <t>Ед.изм.</t>
  </si>
  <si>
    <t>Формула /
Комментарии по расчётам</t>
  </si>
  <si>
    <t>Ключ сопоставления</t>
  </si>
  <si>
    <t>Фильтр</t>
  </si>
  <si>
    <t>Разрез/ Динамика</t>
  </si>
  <si>
    <t>Вид метрики</t>
  </si>
  <si>
    <t>Статус реализации</t>
  </si>
  <si>
    <t>Комментарий по реализации</t>
  </si>
  <si>
    <t>Финансы</t>
  </si>
  <si>
    <t>Карточки</t>
  </si>
  <si>
    <t>1.1</t>
  </si>
  <si>
    <t>Выручка WB</t>
  </si>
  <si>
    <t>WB</t>
  </si>
  <si>
    <t xml:space="preserve">Отчет о продажах по реализации </t>
  </si>
  <si>
    <t>руб.</t>
  </si>
  <si>
    <t>SUMIF(doc_type_name; "Продажа"; retail_amount)
-
SUMIF(doc_type_name; "Возврат"; retail_amount)</t>
  </si>
  <si>
    <t>Фильтры для всего дашборда по Date, supplierArticle, subject</t>
  </si>
  <si>
    <t>нет</t>
  </si>
  <si>
    <t>Карточка</t>
  </si>
  <si>
    <t>1.2</t>
  </si>
  <si>
    <t>Заказов, шт.</t>
  </si>
  <si>
    <t>Заказы</t>
  </si>
  <si>
    <t>шт.</t>
  </si>
  <si>
    <t>SUM(Quantity)</t>
  </si>
  <si>
    <t>1.3</t>
  </si>
  <si>
    <t>Комиссия WB</t>
  </si>
  <si>
    <t>SUM(ppvz_sales_commission)</t>
  </si>
  <si>
    <t>1.4</t>
  </si>
  <si>
    <t>Комиссия WB (% от продаж)</t>
  </si>
  <si>
    <t>Продажи</t>
  </si>
  <si>
    <t>%</t>
  </si>
  <si>
    <t>Комиссия WB (п.1.3) / SUMIF(IsStorno; 0; pricewithdisc)</t>
  </si>
  <si>
    <t>1.5</t>
  </si>
  <si>
    <t>Логистика</t>
  </si>
  <si>
    <t>SUM(delivery_rub)</t>
  </si>
  <si>
    <t>1.6</t>
  </si>
  <si>
    <t>Валовая прибыль</t>
  </si>
  <si>
    <t>WB
Google Doc</t>
  </si>
  <si>
    <t>Отчет о продажах по реализации
Таблица себестоимости</t>
  </si>
  <si>
    <t>артикул</t>
  </si>
  <si>
    <t>1.7</t>
  </si>
  <si>
    <t>Рентабельность</t>
  </si>
  <si>
    <t>расчет</t>
  </si>
  <si>
    <t>Валовая прибыль / Выручка WB</t>
  </si>
  <si>
    <t>Динамика</t>
  </si>
  <si>
    <t>ROI</t>
  </si>
  <si>
    <t>Валовая прибыль (п.1.6)
/ (SUMIF(doc_type_name; "Продажа"; себестоимость*quantity)
- SUMIF(doc_type_name; "Возврат"; себестоимость*quantity))</t>
  </si>
  <si>
    <t>да</t>
  </si>
  <si>
    <t>График ROI по дням</t>
  </si>
  <si>
    <t>Выручка</t>
  </si>
  <si>
    <t>График выручки по дням</t>
  </si>
  <si>
    <t>Топы</t>
  </si>
  <si>
    <t>Лидеры роста</t>
  </si>
  <si>
    <r>
      <rPr>
        <sz val="9"/>
        <color theme="1"/>
        <rFont val="Nunito"/>
      </rPr>
      <t>Выручка WB (п.1.1) - Выручка WB (п.1.1) за прошедший аналогичный период</t>
    </r>
    <r>
      <rPr>
        <i/>
        <sz val="9"/>
        <color theme="1"/>
        <rFont val="Nunito"/>
      </rPr>
      <t xml:space="preserve">
(т.е. если выбрано на фильтре 15 дней. предыдущий период  = предшествующие 15 дней)</t>
    </r>
  </si>
  <si>
    <t>Фильтры для всего дашборда по Date, supplierArticle, subject
Отобразить только значения &gt; 0
Сортировка descending</t>
  </si>
  <si>
    <t>Лидеры падения</t>
  </si>
  <si>
    <r>
      <rPr>
        <sz val="9"/>
        <color theme="1"/>
        <rFont val="Nunito"/>
      </rPr>
      <t>Выручка WB (п.1.1) - Выручка WB (п.1.1) за прошедший аналогичный период</t>
    </r>
    <r>
      <rPr>
        <i/>
        <sz val="9"/>
        <color theme="1"/>
        <rFont val="Nunito"/>
      </rPr>
      <t xml:space="preserve">
(т.е. если выбрано на фильтре 15 дней. предыдущий период  = предшествующие 15 дней)</t>
    </r>
  </si>
  <si>
    <t>Фильтры для всего дашборда по Date, supplierArticle, subject
Отобразить только значения &gt; 0
Сортировка ascending</t>
  </si>
  <si>
    <t>Продажи по областям</t>
  </si>
  <si>
    <t>SUMIF(isRealization; 1; forpay)
Группировать по областям.</t>
  </si>
  <si>
    <t>Лидеры возвратов</t>
  </si>
  <si>
    <t xml:space="preserve">Продажи
Отчет о продажах по реализации </t>
  </si>
  <si>
    <t>штуки</t>
  </si>
  <si>
    <t>SUMIF(doc_type_name; "Возврат"; quantity)</t>
  </si>
  <si>
    <r>
      <t xml:space="preserve">Выручка WB (п.1.1)
- SUMIF(doc_type_name; "Продажа"; </t>
    </r>
    <r>
      <rPr>
        <i/>
        <sz val="9"/>
        <color theme="1"/>
        <rFont val="Nunito"/>
      </rPr>
      <t>ppvz_reward + ppvz_vw + ppvz_vw_nds + delivery_rub + retail_amont/quantity*0,02 + google.себестоимость*quantity</t>
    </r>
    <r>
      <rPr>
        <sz val="9"/>
        <color theme="1"/>
        <rFont val="Nunito"/>
      </rPr>
      <t>)
+ SUMIF(doc_type_name; "Возврат"; ppvz_reward + ppvz_vw + ppvz_vw_nds + delivery_rub + retail_amont/quantity*0,02 + google.себестоимость*quantity)</t>
    </r>
  </si>
  <si>
    <t xml:space="preserve">Мое коментарий </t>
  </si>
  <si>
    <t>2.2</t>
  </si>
  <si>
    <t>2.1</t>
  </si>
  <si>
    <t>3.1</t>
  </si>
  <si>
    <t>3.2</t>
  </si>
  <si>
    <t>3.3</t>
  </si>
  <si>
    <t>3.4</t>
  </si>
  <si>
    <t xml:space="preserve">Взяла из отчета о продажах по реализации </t>
  </si>
  <si>
    <t xml:space="preserve">Взяла из отчета о продажах </t>
  </si>
  <si>
    <t>В заказах quantity 62%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</si>
</sst>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d\ mmm"/>
  </numFmts>
  <fonts count="18" x14ac:knownFonts="1">
    <font>
      <sz val="11"/>
      <color theme="1"/>
      <name val="Calibri"/>
      <scheme val="minor"/>
    </font>
    <font>
      <b/>
      <sz val="9"/>
      <color rgb="FFFFFFFF"/>
      <name val="Nunito"/>
    </font>
    <font>
      <sz val="11"/>
      <color theme="1"/>
      <name val="Calibri"/>
    </font>
    <font>
      <b/>
      <sz val="14"/>
      <color theme="1"/>
      <name val="Nunito"/>
    </font>
    <font>
      <b/>
      <sz val="9"/>
      <color theme="1"/>
      <name val="Nunito"/>
    </font>
    <font>
      <sz val="11"/>
      <color theme="1"/>
      <name val="Nunito"/>
    </font>
    <font>
      <sz val="9"/>
      <color rgb="FF232333"/>
      <name val="Nunito"/>
    </font>
    <font>
      <i/>
      <sz val="9"/>
      <color theme="1"/>
      <name val="Nunito"/>
    </font>
    <font>
      <sz val="9"/>
      <color theme="1"/>
      <name val="Nunito"/>
    </font>
    <font>
      <sz val="11"/>
      <color theme="1"/>
      <name val="Calibri"/>
      <family val="2"/>
      <charset val="204"/>
    </font>
    <font>
      <sz val="9"/>
      <color theme="4" tint="-0.249977111117893"/>
      <name val="Nunito"/>
      <charset val="204"/>
    </font>
    <font>
      <sz val="9"/>
      <color rgb="FFC00000"/>
      <name val="Nunito"/>
      <charset val="204"/>
    </font>
    <font>
      <sz val="11"/>
      <color theme="1"/>
      <name val="Nunito"/>
      <charset val="204"/>
    </font>
    <font>
      <sz val="11"/>
      <color rgb="FFC00000"/>
      <name val="Calibri"/>
      <family val="2"/>
      <charset val="204"/>
    </font>
    <font>
      <i/>
      <sz val="9"/>
      <color rgb="FF7030A0"/>
      <name val="Nunito"/>
      <charset val="204"/>
    </font>
    <font>
      <sz val="9"/>
      <color rgb="FF7030A0"/>
      <name val="Nunito"/>
      <charset val="204"/>
    </font>
    <font>
      <sz val="11"/>
      <name val="Calibri"/>
      <family val="2"/>
      <charset val="204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B7E1CD"/>
        <bgColor rgb="FFB7E1CD"/>
      </patternFill>
    </fill>
    <fill>
      <patternFill patternType="solid">
        <fgColor rgb="FFD0ECDF"/>
        <bgColor rgb="FFD0ECD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164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164" fontId="5" fillId="4" borderId="1" xfId="0" applyNumberFormat="1" applyFont="1" applyFill="1" applyBorder="1" applyAlignment="1">
      <alignment vertical="center"/>
    </xf>
    <xf numFmtId="0" fontId="6" fillId="5" borderId="1" xfId="0" quotePrefix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/>
    </xf>
    <xf numFmtId="164" fontId="4" fillId="3" borderId="2" xfId="0" applyNumberFormat="1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164" fontId="5" fillId="4" borderId="2" xfId="0" applyNumberFormat="1" applyFont="1" applyFill="1" applyBorder="1" applyAlignment="1">
      <alignment vertical="center"/>
    </xf>
    <xf numFmtId="0" fontId="8" fillId="5" borderId="1" xfId="0" applyFont="1" applyFill="1" applyBorder="1" applyAlignment="1">
      <alignment vertical="center" wrapText="1"/>
    </xf>
    <xf numFmtId="164" fontId="8" fillId="0" borderId="2" xfId="0" applyNumberFormat="1" applyFont="1" applyBorder="1" applyAlignment="1">
      <alignment vertical="center" wrapText="1"/>
    </xf>
    <xf numFmtId="0" fontId="2" fillId="6" borderId="2" xfId="0" applyFont="1" applyFill="1" applyBorder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/>
    </xf>
    <xf numFmtId="0" fontId="11" fillId="5" borderId="1" xfId="0" applyFont="1" applyFill="1" applyBorder="1" applyAlignment="1">
      <alignment vertical="center" wrapText="1"/>
    </xf>
    <xf numFmtId="0" fontId="9" fillId="7" borderId="0" xfId="0" applyFont="1" applyFill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 wrapText="1"/>
    </xf>
    <xf numFmtId="49" fontId="6" fillId="5" borderId="1" xfId="0" quotePrefix="1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2" fillId="6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vertical="center"/>
    </xf>
    <xf numFmtId="0" fontId="13" fillId="0" borderId="0" xfId="0" applyFont="1" applyAlignment="1">
      <alignment horizontal="left" vertical="center" wrapText="1"/>
    </xf>
  </cellXfs>
  <cellStyles count="1">
    <cellStyle name="Обычный" xfId="0" builtinId="0"/>
  </cellStyles>
  <dxfs count="2"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Normal="100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N9" sqref="N9"/>
    </sheetView>
  </sheetViews>
  <sheetFormatPr defaultColWidth="14.42578125" defaultRowHeight="15" customHeight="1" x14ac:dyDescent="0.25"/>
  <cols>
    <col min="1" max="1" width="6.5703125" customWidth="1"/>
    <col min="2" max="2" width="23.5703125" customWidth="1"/>
    <col min="3" max="3" width="11.28515625" customWidth="1"/>
    <col min="4" max="4" width="27.85546875" customWidth="1"/>
    <col min="5" max="5" width="26.7109375" hidden="1" customWidth="1"/>
    <col min="6" max="6" width="6.85546875" customWidth="1"/>
    <col min="7" max="7" width="40.5703125" customWidth="1"/>
    <col min="8" max="8" width="13.5703125" customWidth="1"/>
    <col min="9" max="9" width="30.85546875" customWidth="1"/>
    <col min="10" max="10" width="13.140625" customWidth="1"/>
    <col min="11" max="11" width="14" customWidth="1"/>
    <col min="12" max="12" width="10.5703125" customWidth="1"/>
    <col min="13" max="13" width="30.5703125" customWidth="1"/>
    <col min="14" max="14" width="16.28515625" customWidth="1"/>
  </cols>
  <sheetData>
    <row r="1" spans="1:26" ht="4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33" t="s">
        <v>70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  <c r="Z1" s="4"/>
    </row>
    <row r="2" spans="1:26" ht="21" x14ac:dyDescent="0.25">
      <c r="A2" s="5" t="s">
        <v>13</v>
      </c>
      <c r="B2" s="6"/>
      <c r="C2" s="7"/>
      <c r="D2" s="7"/>
      <c r="E2" s="7"/>
      <c r="F2" s="7"/>
      <c r="G2" s="7"/>
      <c r="H2" s="7"/>
      <c r="I2" s="7"/>
      <c r="J2" s="7"/>
      <c r="K2" s="7"/>
      <c r="L2" s="8"/>
      <c r="M2" s="7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x14ac:dyDescent="0.25">
      <c r="A3" s="9">
        <v>1</v>
      </c>
      <c r="B3" s="10" t="s">
        <v>14</v>
      </c>
      <c r="C3" s="11"/>
      <c r="D3" s="11"/>
      <c r="E3" s="11"/>
      <c r="F3" s="11"/>
      <c r="G3" s="11"/>
      <c r="H3" s="11"/>
      <c r="I3" s="11"/>
      <c r="J3" s="11"/>
      <c r="K3" s="11"/>
      <c r="L3" s="12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2.5" customHeight="1" x14ac:dyDescent="0.25">
      <c r="A4" s="13" t="s">
        <v>15</v>
      </c>
      <c r="B4" s="14" t="s">
        <v>16</v>
      </c>
      <c r="C4" s="15" t="s">
        <v>17</v>
      </c>
      <c r="D4" s="15" t="s">
        <v>18</v>
      </c>
      <c r="E4" s="15"/>
      <c r="F4" s="16" t="s">
        <v>19</v>
      </c>
      <c r="G4" s="17" t="s">
        <v>20</v>
      </c>
      <c r="H4" s="18"/>
      <c r="I4" s="17" t="s">
        <v>21</v>
      </c>
      <c r="J4" s="17" t="s">
        <v>22</v>
      </c>
      <c r="K4" s="17" t="s">
        <v>23</v>
      </c>
      <c r="L4" s="19"/>
      <c r="M4" s="2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40.5" customHeight="1" x14ac:dyDescent="0.25">
      <c r="A5" s="13" t="s">
        <v>24</v>
      </c>
      <c r="B5" s="32" t="s">
        <v>25</v>
      </c>
      <c r="C5" s="15" t="s">
        <v>17</v>
      </c>
      <c r="D5" s="34" t="s">
        <v>26</v>
      </c>
      <c r="E5" s="34"/>
      <c r="F5" s="37" t="s">
        <v>27</v>
      </c>
      <c r="G5" s="35" t="s">
        <v>28</v>
      </c>
      <c r="H5" s="18"/>
      <c r="I5" s="17" t="s">
        <v>21</v>
      </c>
      <c r="J5" s="17" t="s">
        <v>22</v>
      </c>
      <c r="K5" s="17" t="s">
        <v>23</v>
      </c>
      <c r="L5" s="19"/>
      <c r="M5" s="40" t="s">
        <v>77</v>
      </c>
      <c r="N5" s="42" t="s">
        <v>79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40.5" customHeight="1" x14ac:dyDescent="0.25">
      <c r="A6" s="13" t="s">
        <v>29</v>
      </c>
      <c r="B6" s="14" t="s">
        <v>30</v>
      </c>
      <c r="C6" s="15" t="s">
        <v>17</v>
      </c>
      <c r="D6" s="15" t="s">
        <v>18</v>
      </c>
      <c r="E6" s="15"/>
      <c r="F6" s="16" t="s">
        <v>19</v>
      </c>
      <c r="G6" s="17" t="s">
        <v>31</v>
      </c>
      <c r="H6" s="18"/>
      <c r="I6" s="17" t="s">
        <v>21</v>
      </c>
      <c r="J6" s="17" t="s">
        <v>22</v>
      </c>
      <c r="K6" s="17" t="s">
        <v>23</v>
      </c>
      <c r="L6" s="19"/>
      <c r="M6" s="20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40.5" customHeight="1" x14ac:dyDescent="0.25">
      <c r="A7" s="13" t="s">
        <v>32</v>
      </c>
      <c r="B7" s="14" t="s">
        <v>33</v>
      </c>
      <c r="C7" s="15" t="s">
        <v>17</v>
      </c>
      <c r="D7" s="15" t="s">
        <v>34</v>
      </c>
      <c r="E7" s="15"/>
      <c r="F7" s="16" t="s">
        <v>35</v>
      </c>
      <c r="G7" s="17" t="s">
        <v>36</v>
      </c>
      <c r="H7" s="18"/>
      <c r="I7" s="17" t="s">
        <v>21</v>
      </c>
      <c r="J7" s="17"/>
      <c r="K7" s="17" t="s">
        <v>23</v>
      </c>
      <c r="L7" s="19"/>
      <c r="M7" s="20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40.5" customHeight="1" x14ac:dyDescent="0.25">
      <c r="A8" s="13" t="s">
        <v>37</v>
      </c>
      <c r="B8" s="14" t="s">
        <v>38</v>
      </c>
      <c r="C8" s="15" t="s">
        <v>17</v>
      </c>
      <c r="D8" s="15" t="s">
        <v>18</v>
      </c>
      <c r="E8" s="15"/>
      <c r="F8" s="16" t="s">
        <v>19</v>
      </c>
      <c r="G8" s="17" t="s">
        <v>39</v>
      </c>
      <c r="H8" s="18"/>
      <c r="I8" s="17" t="s">
        <v>21</v>
      </c>
      <c r="J8" s="17" t="s">
        <v>22</v>
      </c>
      <c r="K8" s="17" t="s">
        <v>23</v>
      </c>
      <c r="L8" s="19"/>
      <c r="M8" s="20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8.25" x14ac:dyDescent="0.25">
      <c r="A9" s="13" t="s">
        <v>40</v>
      </c>
      <c r="B9" s="14" t="s">
        <v>41</v>
      </c>
      <c r="C9" s="15" t="s">
        <v>42</v>
      </c>
      <c r="D9" s="15" t="s">
        <v>43</v>
      </c>
      <c r="E9" s="15"/>
      <c r="F9" s="16" t="s">
        <v>19</v>
      </c>
      <c r="G9" s="17" t="s">
        <v>69</v>
      </c>
      <c r="H9" s="31" t="s">
        <v>44</v>
      </c>
      <c r="I9" s="17" t="s">
        <v>21</v>
      </c>
      <c r="J9" s="17" t="s">
        <v>22</v>
      </c>
      <c r="K9" s="17" t="s">
        <v>23</v>
      </c>
      <c r="L9" s="19"/>
      <c r="M9" s="20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40.5" customHeight="1" x14ac:dyDescent="0.25">
      <c r="A10" s="13" t="s">
        <v>45</v>
      </c>
      <c r="B10" s="14" t="s">
        <v>46</v>
      </c>
      <c r="C10" s="15" t="s">
        <v>47</v>
      </c>
      <c r="D10" s="15"/>
      <c r="E10" s="15"/>
      <c r="F10" s="16" t="s">
        <v>35</v>
      </c>
      <c r="G10" s="17" t="s">
        <v>48</v>
      </c>
      <c r="H10" s="18"/>
      <c r="I10" s="17" t="s">
        <v>21</v>
      </c>
      <c r="J10" s="17" t="s">
        <v>22</v>
      </c>
      <c r="K10" s="17" t="s">
        <v>23</v>
      </c>
      <c r="L10" s="19"/>
      <c r="M10" s="20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x14ac:dyDescent="0.25">
      <c r="A11" s="9">
        <v>2</v>
      </c>
      <c r="B11" s="10" t="s">
        <v>49</v>
      </c>
      <c r="C11" s="21"/>
      <c r="D11" s="21"/>
      <c r="E11" s="21"/>
      <c r="F11" s="21"/>
      <c r="G11" s="21"/>
      <c r="H11" s="22"/>
      <c r="I11" s="21"/>
      <c r="J11" s="21"/>
      <c r="K11" s="21"/>
      <c r="L11" s="23"/>
      <c r="M11" s="2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71.25" x14ac:dyDescent="0.25">
      <c r="A12" s="38" t="s">
        <v>72</v>
      </c>
      <c r="B12" s="24" t="s">
        <v>50</v>
      </c>
      <c r="C12" s="15" t="s">
        <v>42</v>
      </c>
      <c r="D12" s="15" t="s">
        <v>43</v>
      </c>
      <c r="E12" s="15"/>
      <c r="F12" s="16" t="s">
        <v>35</v>
      </c>
      <c r="G12" s="17" t="s">
        <v>51</v>
      </c>
      <c r="H12" s="31" t="s">
        <v>44</v>
      </c>
      <c r="I12" s="17" t="s">
        <v>21</v>
      </c>
      <c r="J12" s="17" t="s">
        <v>52</v>
      </c>
      <c r="K12" s="25" t="s">
        <v>53</v>
      </c>
      <c r="L12" s="19"/>
      <c r="M12" s="26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57" x14ac:dyDescent="0.25">
      <c r="A13" s="38" t="s">
        <v>71</v>
      </c>
      <c r="B13" s="14" t="s">
        <v>54</v>
      </c>
      <c r="C13" s="15" t="s">
        <v>17</v>
      </c>
      <c r="D13" s="15" t="s">
        <v>18</v>
      </c>
      <c r="E13" s="15"/>
      <c r="F13" s="16" t="s">
        <v>19</v>
      </c>
      <c r="G13" s="17" t="s">
        <v>20</v>
      </c>
      <c r="H13" s="27"/>
      <c r="I13" s="17" t="s">
        <v>21</v>
      </c>
      <c r="J13" s="17" t="s">
        <v>52</v>
      </c>
      <c r="K13" s="25" t="s">
        <v>55</v>
      </c>
      <c r="L13" s="19"/>
      <c r="M13" s="26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x14ac:dyDescent="0.25">
      <c r="A14" s="9">
        <v>3</v>
      </c>
      <c r="B14" s="10" t="s">
        <v>56</v>
      </c>
      <c r="C14" s="21"/>
      <c r="D14" s="21"/>
      <c r="E14" s="21"/>
      <c r="F14" s="21"/>
      <c r="G14" s="21"/>
      <c r="H14" s="22"/>
      <c r="I14" s="21"/>
      <c r="J14" s="21"/>
      <c r="K14" s="21"/>
      <c r="L14" s="23"/>
      <c r="M14" s="2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75" customHeight="1" x14ac:dyDescent="0.25">
      <c r="A15" s="13" t="s">
        <v>73</v>
      </c>
      <c r="B15" s="14" t="s">
        <v>57</v>
      </c>
      <c r="C15" s="15"/>
      <c r="D15" s="15"/>
      <c r="E15" s="15"/>
      <c r="F15" s="16" t="s">
        <v>19</v>
      </c>
      <c r="G15" s="28" t="s">
        <v>58</v>
      </c>
      <c r="H15" s="27"/>
      <c r="I15" s="30" t="s">
        <v>59</v>
      </c>
      <c r="J15" s="17" t="s">
        <v>22</v>
      </c>
      <c r="K15" s="25"/>
      <c r="L15" s="19"/>
      <c r="M15" s="2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77.25" customHeight="1" x14ac:dyDescent="0.25">
      <c r="A16" s="13" t="s">
        <v>74</v>
      </c>
      <c r="B16" s="14" t="s">
        <v>60</v>
      </c>
      <c r="C16" s="15"/>
      <c r="D16" s="15"/>
      <c r="E16" s="15"/>
      <c r="F16" s="16" t="s">
        <v>19</v>
      </c>
      <c r="G16" s="28" t="s">
        <v>61</v>
      </c>
      <c r="H16" s="27"/>
      <c r="I16" s="30" t="s">
        <v>62</v>
      </c>
      <c r="J16" s="17" t="s">
        <v>22</v>
      </c>
      <c r="K16" s="25"/>
      <c r="L16" s="19"/>
      <c r="M16" s="2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53.25" customHeight="1" x14ac:dyDescent="0.25">
      <c r="A17" s="13" t="s">
        <v>75</v>
      </c>
      <c r="B17" s="14" t="s">
        <v>63</v>
      </c>
      <c r="C17" s="15" t="s">
        <v>17</v>
      </c>
      <c r="D17" s="34" t="s">
        <v>18</v>
      </c>
      <c r="E17" s="15"/>
      <c r="F17" s="16" t="s">
        <v>19</v>
      </c>
      <c r="G17" s="34" t="s">
        <v>64</v>
      </c>
      <c r="H17" s="27"/>
      <c r="I17" s="17" t="s">
        <v>21</v>
      </c>
      <c r="J17" s="17" t="s">
        <v>22</v>
      </c>
      <c r="K17" s="25"/>
      <c r="L17" s="19"/>
      <c r="M17" s="41" t="s">
        <v>78</v>
      </c>
      <c r="N17" s="39"/>
      <c r="O17" s="4"/>
      <c r="P17" s="36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55.5" customHeight="1" x14ac:dyDescent="0.25">
      <c r="A18" s="13" t="s">
        <v>76</v>
      </c>
      <c r="B18" s="14" t="s">
        <v>65</v>
      </c>
      <c r="C18" s="15" t="s">
        <v>17</v>
      </c>
      <c r="D18" s="15" t="s">
        <v>66</v>
      </c>
      <c r="E18" s="15"/>
      <c r="F18" s="16" t="s">
        <v>67</v>
      </c>
      <c r="G18" s="17" t="s">
        <v>68</v>
      </c>
      <c r="H18" s="27"/>
      <c r="I18" s="17" t="s">
        <v>21</v>
      </c>
      <c r="J18" s="17" t="s">
        <v>22</v>
      </c>
      <c r="K18" s="25"/>
      <c r="L18" s="19"/>
      <c r="M18" s="26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3"/>
      <c r="B19" s="2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3"/>
      <c r="B20" s="29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3"/>
      <c r="B21" s="2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3"/>
      <c r="B22" s="29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3"/>
      <c r="B23" s="29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3"/>
      <c r="B24" s="29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3"/>
      <c r="B25" s="29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3"/>
      <c r="B26" s="29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3"/>
      <c r="B27" s="29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3"/>
      <c r="B28" s="29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3"/>
      <c r="B29" s="29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3"/>
      <c r="B30" s="29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3"/>
      <c r="B31" s="29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3"/>
      <c r="B32" s="29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3"/>
      <c r="B33" s="29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3"/>
      <c r="B34" s="29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3"/>
      <c r="B35" s="29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3"/>
      <c r="B36" s="29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3"/>
      <c r="B37" s="29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3"/>
      <c r="B38" s="29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3"/>
      <c r="B39" s="29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3"/>
      <c r="B40" s="29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3"/>
      <c r="B41" s="29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3"/>
      <c r="B42" s="29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3"/>
      <c r="B43" s="29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3"/>
      <c r="B44" s="29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3"/>
      <c r="B45" s="29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3"/>
      <c r="B46" s="29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3"/>
      <c r="B47" s="29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3"/>
      <c r="B48" s="29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3"/>
      <c r="B49" s="29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3"/>
      <c r="B50" s="29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3"/>
      <c r="B51" s="29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3"/>
      <c r="B52" s="29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3"/>
      <c r="B53" s="29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3"/>
      <c r="B54" s="29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3"/>
      <c r="B55" s="29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3"/>
      <c r="B56" s="29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3"/>
      <c r="B57" s="29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3"/>
      <c r="B58" s="29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3"/>
      <c r="B59" s="29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3"/>
      <c r="B60" s="29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3"/>
      <c r="B61" s="29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3"/>
      <c r="B62" s="29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3"/>
      <c r="B63" s="29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3"/>
      <c r="B64" s="29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3"/>
      <c r="B65" s="29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3"/>
      <c r="B66" s="29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3"/>
      <c r="B67" s="29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3"/>
      <c r="B68" s="29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3"/>
      <c r="B69" s="29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3"/>
      <c r="B70" s="29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3"/>
      <c r="B71" s="29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3"/>
      <c r="B72" s="29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3"/>
      <c r="B73" s="29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3"/>
      <c r="B74" s="29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3"/>
      <c r="B75" s="29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3"/>
      <c r="B76" s="29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3"/>
      <c r="B77" s="29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3"/>
      <c r="B78" s="29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3"/>
      <c r="B79" s="29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3"/>
      <c r="B80" s="29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3"/>
      <c r="B81" s="29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3"/>
      <c r="B82" s="29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3"/>
      <c r="B83" s="29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3"/>
      <c r="B84" s="29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3"/>
      <c r="B85" s="29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3"/>
      <c r="B86" s="29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3"/>
      <c r="B87" s="29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3"/>
      <c r="B88" s="29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3"/>
      <c r="B89" s="29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3"/>
      <c r="B90" s="29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3"/>
      <c r="B91" s="29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3"/>
      <c r="B92" s="29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3"/>
      <c r="B93" s="29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3"/>
      <c r="B94" s="29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3"/>
      <c r="B95" s="29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3"/>
      <c r="B96" s="29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3"/>
      <c r="B97" s="29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3"/>
      <c r="B98" s="29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3"/>
      <c r="B99" s="29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3"/>
      <c r="B100" s="29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3"/>
      <c r="B101" s="29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3"/>
      <c r="B102" s="29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3"/>
      <c r="B103" s="29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3"/>
      <c r="B104" s="29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3"/>
      <c r="B105" s="29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3"/>
      <c r="B106" s="29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3"/>
      <c r="B107" s="29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3"/>
      <c r="B108" s="29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3"/>
      <c r="B109" s="29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3"/>
      <c r="B110" s="29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3"/>
      <c r="B111" s="29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3"/>
      <c r="B112" s="29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3"/>
      <c r="B113" s="29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3"/>
      <c r="B114" s="29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3"/>
      <c r="B115" s="29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3"/>
      <c r="B116" s="29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3"/>
      <c r="B117" s="29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3"/>
      <c r="B118" s="29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3"/>
      <c r="B119" s="29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3"/>
      <c r="B120" s="29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3"/>
      <c r="B121" s="29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3"/>
      <c r="B122" s="29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3"/>
      <c r="B123" s="29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3"/>
      <c r="B124" s="29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3"/>
      <c r="B125" s="29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3"/>
      <c r="B126" s="29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3"/>
      <c r="B127" s="29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3"/>
      <c r="B128" s="29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3"/>
      <c r="B129" s="29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3"/>
      <c r="B130" s="29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3"/>
      <c r="B131" s="29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3"/>
      <c r="B132" s="29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3"/>
      <c r="B133" s="29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3"/>
      <c r="B134" s="29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3"/>
      <c r="B135" s="29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3"/>
      <c r="B136" s="29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3"/>
      <c r="B137" s="29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3"/>
      <c r="B138" s="29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3"/>
      <c r="B139" s="29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3"/>
      <c r="B140" s="29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3"/>
      <c r="B141" s="29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3"/>
      <c r="B142" s="29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3"/>
      <c r="B143" s="29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3"/>
      <c r="B144" s="29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3"/>
      <c r="B145" s="29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3"/>
      <c r="B146" s="29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3"/>
      <c r="B147" s="29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3"/>
      <c r="B148" s="29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3"/>
      <c r="B149" s="29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3"/>
      <c r="B150" s="29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3"/>
      <c r="B151" s="29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3"/>
      <c r="B152" s="29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3"/>
      <c r="B153" s="29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3"/>
      <c r="B154" s="29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3"/>
      <c r="B155" s="29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3"/>
      <c r="B156" s="29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3"/>
      <c r="B157" s="29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3"/>
      <c r="B158" s="29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3"/>
      <c r="B159" s="29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3"/>
      <c r="B160" s="29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3"/>
      <c r="B161" s="29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3"/>
      <c r="B162" s="29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3"/>
      <c r="B163" s="29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3"/>
      <c r="B164" s="29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3"/>
      <c r="B165" s="29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3"/>
      <c r="B166" s="29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3"/>
      <c r="B167" s="29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3"/>
      <c r="B168" s="29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3"/>
      <c r="B169" s="29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3"/>
      <c r="B170" s="29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3"/>
      <c r="B171" s="29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3"/>
      <c r="B172" s="29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3"/>
      <c r="B173" s="29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3"/>
      <c r="B174" s="29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3"/>
      <c r="B175" s="29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3"/>
      <c r="B176" s="29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3"/>
      <c r="B177" s="29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3"/>
      <c r="B178" s="29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3"/>
      <c r="B179" s="29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3"/>
      <c r="B180" s="29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3"/>
      <c r="B181" s="29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3"/>
      <c r="B182" s="29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3"/>
      <c r="B183" s="29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3"/>
      <c r="B184" s="29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3"/>
      <c r="B185" s="29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3"/>
      <c r="B186" s="29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3"/>
      <c r="B187" s="29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3"/>
      <c r="B188" s="29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3"/>
      <c r="B189" s="29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3"/>
      <c r="B190" s="29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3"/>
      <c r="B191" s="29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3"/>
      <c r="B192" s="29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3"/>
      <c r="B193" s="29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3"/>
      <c r="B194" s="29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3"/>
      <c r="B195" s="29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3"/>
      <c r="B196" s="29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3"/>
      <c r="B197" s="29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3"/>
      <c r="B198" s="29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3"/>
      <c r="B199" s="29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3"/>
      <c r="B200" s="29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3"/>
      <c r="B201" s="29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3"/>
      <c r="B202" s="29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3"/>
      <c r="B203" s="29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3"/>
      <c r="B204" s="29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3"/>
      <c r="B205" s="29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3"/>
      <c r="B206" s="29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3"/>
      <c r="B207" s="29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3"/>
      <c r="B208" s="29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3"/>
      <c r="B209" s="29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3"/>
      <c r="B210" s="29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3"/>
      <c r="B211" s="29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3"/>
      <c r="B212" s="29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3"/>
      <c r="B213" s="29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3"/>
      <c r="B214" s="29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3"/>
      <c r="B215" s="29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3"/>
      <c r="B216" s="29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3"/>
      <c r="B217" s="29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3"/>
      <c r="B218" s="29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3"/>
      <c r="B219" s="29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3"/>
      <c r="B220" s="29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honeticPr fontId="17" type="noConversion"/>
  <conditionalFormatting sqref="J2:J18">
    <cfRule type="containsText" dxfId="1" priority="1" operator="containsText" text="да">
      <formula>NOT(ISERROR(SEARCH(("да"),(J2))))</formula>
    </cfRule>
    <cfRule type="containsText" dxfId="0" priority="2" operator="containsText" text="Доработать ">
      <formula>NOT(ISERROR(SEARCH(("Доработать "),(J2))))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Гришина</dc:creator>
  <cp:lastModifiedBy>Мария Турчанинова</cp:lastModifiedBy>
  <dcterms:created xsi:type="dcterms:W3CDTF">2022-09-14T17:44:24Z</dcterms:created>
  <dcterms:modified xsi:type="dcterms:W3CDTF">2026-04-05T01:18:14Z</dcterms:modified>
</cp:coreProperties>
</file>